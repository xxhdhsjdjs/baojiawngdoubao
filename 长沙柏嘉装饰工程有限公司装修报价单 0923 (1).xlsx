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\"/>
    </mc:Choice>
  </mc:AlternateContent>
  <bookViews>
    <workbookView windowWidth="30720" windowHeight="13380"/>
  </bookViews>
  <sheets>
    <sheet name="装修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<sst xmlns="http://schemas.openxmlformats.org/spreadsheetml/2006/main" count="147" uniqueCount="123">
  <si>
    <t>长沙柏嘉装饰工程有限公司</t>
  </si>
  <si>
    <t>装修工程报价单</t>
  </si>
  <si>
    <t>工程编号：____        报价日期：2026年9月23日</t>
  </si>
  <si>
    <t>序号</t>
  </si>
  <si>
    <t>项目名称</t>
  </si>
  <si>
    <t>施工内容及说明</t>
  </si>
  <si>
    <t>数量</t>
  </si>
  <si>
    <t>单位</t>
  </si>
  <si>
    <t>单价（元）</t>
  </si>
  <si>
    <t>金额（元）</t>
  </si>
  <si>
    <t>地膜</t>
  </si>
  <si>
    <t>全屋地面贴膜（含空调风口、电梯厅）。含：人工＋地膜。</t>
  </si>
  <si>
    <t>项</t>
  </si>
  <si>
    <t>水电开关插座移位</t>
  </si>
  <si>
    <t>64个（预估）×80元/个＝5120元，以实际改动为准。含：人工、开槽、电线（金杯2.5平方线，单个用电超3千瓦用4平方线）、封槽、底盒、后期面板安装；不含：腻子修复、增加的开关插座面板。</t>
  </si>
  <si>
    <t>个</t>
  </si>
  <si>
    <t>主卧卫生间门换向</t>
  </si>
  <si>
    <t>含：人工、开门洞、砌墙、刷防水、贴砖（含砖）；不含：门、腻子修复。</t>
  </si>
  <si>
    <t>垛子拆除，原窗帘盒封平，更换三片地砖</t>
  </si>
  <si>
    <t>原窗帘盒封平、更换3片地砖。含：人工、垃圾清运、水泥、沙、欧松板、石膏板；不含：腻子修复。</t>
  </si>
  <si>
    <t>窗台3片瓷砖拆除＋铺贴</t>
  </si>
  <si>
    <t>含：人工、瓷砖胶；不含：瓷砖。</t>
  </si>
  <si>
    <t>大阳台窗帘盒</t>
  </si>
  <si>
    <t>含：人工、欧松板、石膏板、辅材；不含：腻子修复。</t>
  </si>
  <si>
    <t>凹墙改直</t>
  </si>
  <si>
    <t>含：拆墙、垃圾清运、砌墙、粉平、挂网、植筋、木地板通铺；不含：腻子修复、木地板。</t>
  </si>
  <si>
    <t>二卫一厨石膏板换铝扣板吊顶</t>
  </si>
  <si>
    <t>含：原石膏板顶拆除、垃圾清运；铝扣板吊顶人工＋材料（300×600铝扣板，320克/片）；灯、浴霸复原；不含：灯。</t>
  </si>
  <si>
    <t>次卫坐改蹲</t>
  </si>
  <si>
    <t>开发商洁具全部拆除、沉箱及墙面瓷砖全部拆除、门口两边半堵墙垛子拆除、淋浴龙头位置更换（改水管）；地面做二遍防水、墙面湿区防水1.5米高（干区90公分高）、试水48水时；PVC管道（排水，除主管道外）全部更换；找平后再做二遍防水、贴砖复原（含水泥、沙子、瓷砖、人工）；不含：卫生间门和玻璃隔断。</t>
  </si>
  <si>
    <t>次卫地砖铺贴（600×600）
次卫墙砖铺贴（400×800）</t>
  </si>
  <si>
    <t>含：人工、水泥、沙；不含：地砖。</t>
  </si>
  <si>
    <t>加装九牧蹲便器</t>
  </si>
  <si>
    <t>此项也可由业主自行购买。</t>
  </si>
  <si>
    <t>回风口改造</t>
  </si>
  <si>
    <t>3个×100元/个＝300元。含：人工＋材料；不含：定制回风口。</t>
  </si>
  <si>
    <t>窗帘盒加宽</t>
  </si>
  <si>
    <t>主卧窗帘盒加宽3米×160元/米＝480元；北向大次卧窗帘盒加宽2米×160元/米＝320元，合计800元。含：开槽、垃圾清运、人工、石膏板、欧松板、辅材；不含：腻子修复。</t>
  </si>
  <si>
    <t>米</t>
  </si>
  <si>
    <t>全房木门拆除、清运</t>
  </si>
  <si>
    <t>免费。</t>
  </si>
  <si>
    <t>设备阳台铝合金门拆除</t>
  </si>
  <si>
    <t>按市场价回收。</t>
  </si>
  <si>
    <t>家政间改造</t>
  </si>
  <si>
    <t>①拆除类800元：门框混凝土拆除、推拉门拆除、墙体拆除、原阳台地面拆除、原窗帘盒拆除、木地板拆除；②修复及新增类2300元：鞋柜墙体拆除修复、吊顶修复200元、加边顶6米×150元/米＝900元、双眼皮恢复（原窗帘盒）200元、阳台封窗后吊顶（晾衣架造型）、阳台窗帘盒；③地面及空调类3000元：地面瓷砖通铺12㎡×90元/㎡＝1080元、做空调台＋刷防水、改空调排水、空调孔贴砖。含：人工、水泥、沙、瓷砖、垃圾清运、防水、空调台瓷砖、欧松板、石膏板；不含：地砖、腻子修复。</t>
  </si>
  <si>
    <t>墙面修复</t>
  </si>
  <si>
    <t>新建吊顶、窗帘盒、拆墙接口、线槽。含：人工、立邦腻子粉、石膏、网带、角线、辅材；打磨平整后达到做艺术漆或乳胶漆的要求。</t>
  </si>
  <si>
    <t>打底</t>
  </si>
  <si>
    <t>主卧床头3.7㎡×110元/㎡＝407元；入户2.55×2.4＝6.12㎡×110元/㎡＝673元；餐厅酒柜面2.9×2.4＝6.96㎡×110元/㎡＝765元；沙发背景墙4.55×2.4＝10.92㎡×110元/㎡＝1201元；阳台0.8×2.4＝1.92㎡×110元/㎡＝211元；过道3.2×2.4＝7.68㎡×110元/㎡＝844元；次卧对面1.1×2.4＝2.64㎡×110元/㎡＝290元，合计4391元。含：人工、万象（ENF级欧松板）9厘、辅材。</t>
  </si>
  <si>
    <t>电视墙</t>
  </si>
  <si>
    <t>4.55米×2.1米＝9.55㎡×260元/㎡＝2483元；灯带加变压器400元，合计2883元。含：人工、木方、欧松板、石膏板、灯带、变压器；不含：墙面修复。</t>
  </si>
  <si>
    <t>吊顶加宽（边顶加宽）</t>
  </si>
  <si>
    <t>阳台柜阴角框2米×150元/米×2（个）＝600元；女孩房3米×150元/米＝450元，合计1050元。含：人工、木方、欧松板、石膏板、辅材；不含：腻子修复。</t>
  </si>
  <si>
    <t>设备阳台50管入墙</t>
  </si>
  <si>
    <t>含：开槽、50PVC管、人工、辅材。</t>
  </si>
  <si>
    <t>网线</t>
  </si>
  <si>
    <t>北向2个次卧网线550元；电视背景墙网线2条300元，合计850元。含：人工＋网线（秋叶原6类）；不含面板。</t>
  </si>
  <si>
    <t>洗衣机排水打孔</t>
  </si>
  <si>
    <t>含：打孔。</t>
  </si>
  <si>
    <t>柜体与墙面垂直度修复</t>
  </si>
  <si>
    <t>打红外线、放角线、石膏找平。</t>
  </si>
  <si>
    <t>合计金额（元，税前）</t>
  </si>
  <si>
    <t>业主自购：800×800地砖约26片、开关插座约400元（预估）。</t>
  </si>
  <si>
    <t>附表：开关插座点位及费用明细</t>
  </si>
  <si>
    <t>附表：材料品牌型号备注</t>
  </si>
  <si>
    <t>区域</t>
  </si>
  <si>
    <t>点位明细</t>
  </si>
  <si>
    <t>水计（个）</t>
  </si>
  <si>
    <t>材料名称</t>
  </si>
  <si>
    <t>品牌/型号规格</t>
  </si>
  <si>
    <t>主卧</t>
  </si>
  <si>
    <t>插座3个、开关1个</t>
  </si>
  <si>
    <t>防水</t>
  </si>
  <si>
    <t>东方雨虹（JS）</t>
  </si>
  <si>
    <t>主卫</t>
  </si>
  <si>
    <t>开关5个</t>
  </si>
  <si>
    <t>水管</t>
  </si>
  <si>
    <t>南方</t>
  </si>
  <si>
    <t>次卫</t>
  </si>
  <si>
    <t>插座2个</t>
  </si>
  <si>
    <t>瓷砖</t>
  </si>
  <si>
    <t>大禹飞途3型</t>
  </si>
  <si>
    <t>厨房</t>
  </si>
  <si>
    <t>开关4个、插座5个</t>
  </si>
  <si>
    <t>背胶</t>
  </si>
  <si>
    <t>德高</t>
  </si>
  <si>
    <t>北向次卧</t>
  </si>
  <si>
    <t>腻子粉</t>
  </si>
  <si>
    <t>立邦</t>
  </si>
  <si>
    <t>阳台次卧</t>
  </si>
  <si>
    <t>开关3个</t>
  </si>
  <si>
    <t>欧松板</t>
  </si>
  <si>
    <t>万象 ENF</t>
  </si>
  <si>
    <t>阳台柜</t>
  </si>
  <si>
    <t>插座3个、水1个</t>
  </si>
  <si>
    <t>石膏板</t>
  </si>
  <si>
    <t>龙牌</t>
  </si>
  <si>
    <t>厨房冰箱</t>
  </si>
  <si>
    <t>插座1个</t>
  </si>
  <si>
    <t>PVC管</t>
  </si>
  <si>
    <t>联塑</t>
  </si>
  <si>
    <t>阳台柜（西向）</t>
  </si>
  <si>
    <t>插座1个、灯线1个</t>
  </si>
  <si>
    <t>PPR管</t>
  </si>
  <si>
    <t>联塑进水管</t>
  </si>
  <si>
    <t>窗帘盒</t>
  </si>
  <si>
    <t>电源2个</t>
  </si>
  <si>
    <t>客厅</t>
  </si>
  <si>
    <t>50管1个、插座3个</t>
  </si>
  <si>
    <t>沙发背景</t>
  </si>
  <si>
    <t>开关1个、插座5个</t>
  </si>
  <si>
    <t>餐边柜</t>
  </si>
  <si>
    <t>插座3个</t>
  </si>
  <si>
    <t>家政间</t>
  </si>
  <si>
    <t>插座4个、水3个、排水1个、开关1个</t>
  </si>
  <si>
    <t>设备阳台</t>
  </si>
  <si>
    <t>空调电源1个</t>
  </si>
  <si>
    <t>合计（个）</t>
  </si>
  <si>
    <t>备注：</t>
  </si>
  <si>
    <t xml:space="preserve">  1. 工期约定
本工程总施工工期 30 天，工期自乙方实际进场施工当日起算。因甲方、开发商原因、现场不具备施工条件、甲方材料 / 方案确认滞后、甲方指令变更或不可抗力因素造成停工、工期延误的，工期相应顺延，且乙方不承担任何逾期违约责任。
2. 质保维保约定
本工程质保维保期为二年。仅因乙方施工工艺、材料本身质量问题由乙方免费维保；凡因甲方使用不当、人为损坏、第三方破坏、装修改动、环境因素、甲方自行改动管线结构等甲方原因引发的故障、损坏，不属于免费维保范围，乙方可据实收取人工、材料相关维保费用。
3. 结算审核约定
工程竣工验收合格后，乙方提交完整工程结算资料。甲方收到结算资料后 7 日内完成审核；审核无异议的，应于审核完成后 7 日内足额支付对应工程款。甲方自收到乙方结算资料之日起 7 个工作日内未以书面形式提出有效异议的，视为甲方完全认可乙方提交的结算金额，不得再以任何理由拖延、拒付工程款。
4. 工程款支付节点
（1）乙方进场施工前，甲方支付首期工程款 2000元；
（2）拆除水电完成后，甲方支付总价工程款 50%；
（3）泥工木工工程完期后，支付工程款95%
（4）剩余 5% 尾款，于全部工程竣工验收合格后 7 日内一次性全额付清。
甲方逾期支付任意一期款项的，乙方有权暂停施工，由此产生工期延误、人工窝工损失由甲方承担，工期相应顺延。
5. 工程增项约定
施工期间产生工程增项、变更项目的，甲方应当在增项开工前与乙方确认价款并足额预付增项工程款。甲方未按期支付增项款项，乙方有权暂缓实施该部分增项工程，由此造成的工期延误及相关损失由甲方承担。
6. 安全责任约定
施工过程乙方如有发生安全事故，乙方负全部责任，与甲方无关
7. 税费约定
以上报价均为税前价格（不含税）；如需开具发票，相关税费另计。</t>
  </si>
  <si>
    <t>装修手续由业主办理，本公司提供所需证件；装修垃圾清运至物业指定点，外运费用由业主自理。</t>
  </si>
  <si>
    <t>空调移机、消防喷头移位，本公司可帮忙联系相关单位，费用由业主自理。</t>
  </si>
  <si>
    <t>业主（甲方）签字：____________________    施工方（乙方）签字：____________________    日期：______年____月____日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</si>
</sst>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rgb="FF1F3864"/>
      <name val="微软雅黑"/>
      <charset val="134"/>
    </font>
    <font>
      <b/>
      <sz val="14"/>
      <color rgb="FF000000"/>
      <name val="微软雅黑"/>
      <charset val="134"/>
    </font>
    <font>
      <sz val="10"/>
      <color rgb="FF404040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sz val="9.5"/>
      <color rgb="FF59595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0" fillId="0" borderId="1" xfId="0" applyBorder="1"/>
    <xf numFmtId="3" fontId="6" fillId="3" borderId="1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/>
    <xf numFmtId="3" fontId="5" fillId="0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showGridLines="0" tabSelected="1" zoomScale="175" zoomScaleNormal="175" topLeftCell="A19" workbookViewId="0">
      <selection activeCell="C21" sqref="C21"/>
    </sheetView>
  </sheetViews>
  <sheetFormatPr defaultColWidth="9" defaultRowHeight="14.4"/>
  <cols>
    <col min="1" max="1" width="5.5" customWidth="1"/>
    <col min="2" max="2" width="22" customWidth="1"/>
    <col min="3" max="3" width="63.6759259259259" customWidth="1"/>
    <col min="4" max="4" width="8" customWidth="1"/>
    <col min="5" max="5" width="7" customWidth="1"/>
    <col min="6" max="6" width="13.4814814814815" customWidth="1"/>
    <col min="7" max="7" width="12" customWidth="1"/>
    <col min="9" max="9" width="14.6018518518519" customWidth="1"/>
    <col min="10" max="10" width="15.8796296296296" customWidth="1"/>
  </cols>
  <sheetData>
    <row r="1" ht="34" customHeight="1" spans="1:7">
      <c r="B1" s="1" t="s">
        <v>0</v>
      </c>
    </row>
    <row r="2" ht="26" customHeight="1" spans="1:7">
      <c r="A2" s="2" t="s">
        <v>1</v>
      </c>
    </row>
    <row r="3" ht="54" customHeight="1" spans="1:7">
      <c r="A3" s="3" t="s">
        <v>2</v>
      </c>
    </row>
    <row r="4" ht="24" customHeight="1" spans="1:7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34" customHeight="1" spans="1:7">
      <c r="A5" s="5">
        <v>1</v>
      </c>
      <c r="B5" s="6" t="s">
        <v>10</v>
      </c>
      <c r="C5" s="6" t="s">
        <v>11</v>
      </c>
      <c r="D5" s="5">
        <v>1</v>
      </c>
      <c r="E5" s="5" t="s">
        <v>12</v>
      </c>
      <c r="F5" s="7">
        <v>500</v>
      </c>
      <c r="G5" s="8">
        <f t="shared" ref="G5:G29" si="0">D5*F5</f>
        <v>500</v>
      </c>
    </row>
    <row r="6" ht="48" customHeight="1" spans="1:7">
      <c r="A6" s="5">
        <v>2</v>
      </c>
      <c r="B6" s="6" t="s">
        <v>13</v>
      </c>
      <c r="C6" s="6" t="s">
        <v>14</v>
      </c>
      <c r="D6" s="5">
        <v>64</v>
      </c>
      <c r="E6" s="5" t="s">
        <v>15</v>
      </c>
      <c r="F6" s="7">
        <v>80</v>
      </c>
      <c r="G6" s="8">
        <f t="shared" si="0"/>
        <v>5120</v>
      </c>
    </row>
    <row r="7" ht="34" customHeight="1" spans="1:7">
      <c r="A7" s="5">
        <v>3</v>
      </c>
      <c r="B7" s="6" t="s">
        <v>16</v>
      </c>
      <c r="C7" s="6" t="s">
        <v>17</v>
      </c>
      <c r="D7" s="5">
        <v>1</v>
      </c>
      <c r="E7" s="5" t="s">
        <v>12</v>
      </c>
      <c r="F7" s="7">
        <v>1500</v>
      </c>
      <c r="G7" s="8">
        <f t="shared" si="0"/>
        <v>1500</v>
      </c>
    </row>
    <row r="8" ht="52" customHeight="1" spans="1:7">
      <c r="A8" s="5">
        <v>4</v>
      </c>
      <c r="B8" s="6" t="s">
        <v>18</v>
      </c>
      <c r="C8" s="6" t="s">
        <v>19</v>
      </c>
      <c r="D8" s="5">
        <v>1</v>
      </c>
      <c r="E8" s="5" t="s">
        <v>12</v>
      </c>
      <c r="F8" s="7">
        <v>1100</v>
      </c>
      <c r="G8" s="8">
        <f t="shared" si="0"/>
        <v>1100</v>
      </c>
    </row>
    <row r="9" ht="34" customHeight="1" spans="1:7">
      <c r="A9" s="5">
        <v>5</v>
      </c>
      <c r="B9" s="6" t="s">
        <v>20</v>
      </c>
      <c r="C9" s="6" t="s">
        <v>21</v>
      </c>
      <c r="D9" s="5">
        <v>1</v>
      </c>
      <c r="E9" s="5" t="s">
        <v>12</v>
      </c>
      <c r="F9" s="7">
        <v>200</v>
      </c>
      <c r="G9" s="8">
        <f t="shared" si="0"/>
        <v>200</v>
      </c>
    </row>
    <row r="10" ht="34" customHeight="1" spans="1:7">
      <c r="A10" s="5">
        <v>6</v>
      </c>
      <c r="B10" s="6" t="s">
        <v>22</v>
      </c>
      <c r="C10" s="6" t="s">
        <v>23</v>
      </c>
      <c r="D10" s="5">
        <v>1</v>
      </c>
      <c r="E10" s="5" t="s">
        <v>12</v>
      </c>
      <c r="F10" s="7">
        <v>1100</v>
      </c>
      <c r="G10" s="8">
        <f t="shared" si="0"/>
        <v>1100</v>
      </c>
    </row>
    <row r="11" ht="34" customHeight="1" spans="1:7">
      <c r="A11" s="5">
        <v>7</v>
      </c>
      <c r="B11" s="6" t="s">
        <v>24</v>
      </c>
      <c r="C11" s="6" t="s">
        <v>25</v>
      </c>
      <c r="D11" s="5">
        <v>1</v>
      </c>
      <c r="E11" s="5" t="s">
        <v>12</v>
      </c>
      <c r="F11" s="7">
        <v>1200</v>
      </c>
      <c r="G11" s="8">
        <f t="shared" si="0"/>
        <v>1200</v>
      </c>
    </row>
    <row r="12" ht="34" customHeight="1" spans="1:7">
      <c r="A12" s="5">
        <v>8</v>
      </c>
      <c r="B12" s="6" t="s">
        <v>26</v>
      </c>
      <c r="C12" s="6" t="s">
        <v>27</v>
      </c>
      <c r="D12" s="5">
        <v>1</v>
      </c>
      <c r="E12" s="5" t="s">
        <v>12</v>
      </c>
      <c r="F12" s="7">
        <v>2450</v>
      </c>
      <c r="G12" s="8">
        <f t="shared" si="0"/>
        <v>2450</v>
      </c>
    </row>
    <row r="13" ht="80" customHeight="1" spans="1:7">
      <c r="A13" s="5">
        <v>9</v>
      </c>
      <c r="B13" s="6" t="s">
        <v>28</v>
      </c>
      <c r="C13" s="6" t="s">
        <v>29</v>
      </c>
      <c r="D13" s="5">
        <v>1</v>
      </c>
      <c r="E13" s="5" t="s">
        <v>12</v>
      </c>
      <c r="F13" s="7">
        <v>6500</v>
      </c>
      <c r="G13" s="8">
        <f t="shared" si="0"/>
        <v>6500</v>
      </c>
    </row>
    <row r="14" ht="61" customHeight="1" spans="1:7">
      <c r="A14" s="5">
        <v>10</v>
      </c>
      <c r="B14" s="6" t="s">
        <v>30</v>
      </c>
      <c r="C14" s="6" t="s">
        <v>31</v>
      </c>
      <c r="D14" s="5">
        <v>1</v>
      </c>
      <c r="E14" s="5" t="s">
        <v>12</v>
      </c>
      <c r="F14" s="7">
        <v>1000</v>
      </c>
      <c r="G14" s="8">
        <f t="shared" si="0"/>
        <v>1000</v>
      </c>
    </row>
    <row r="15" ht="34" customHeight="1" spans="1:7">
      <c r="A15" s="5">
        <v>11</v>
      </c>
      <c r="B15" s="6"/>
      <c r="C15" s="6"/>
      <c r="D15" s="5"/>
      <c r="E15" s="5"/>
      <c r="F15" s="7">
        <v>0</v>
      </c>
      <c r="G15" s="8">
        <v>0</v>
      </c>
    </row>
    <row r="16" ht="34" customHeight="1" spans="1:7">
      <c r="A16" s="5">
        <v>12</v>
      </c>
      <c r="B16" s="6" t="s">
        <v>32</v>
      </c>
      <c r="C16" s="6" t="s">
        <v>33</v>
      </c>
      <c r="D16" s="5">
        <v>1</v>
      </c>
      <c r="E16" s="5" t="s">
        <v>12</v>
      </c>
      <c r="F16" s="7">
        <v>300</v>
      </c>
      <c r="G16" s="8">
        <f t="shared" si="0"/>
        <v>300</v>
      </c>
    </row>
    <row r="17" ht="34" customHeight="1" spans="1:14">
      <c r="A17" s="5">
        <v>13</v>
      </c>
      <c r="B17" s="6" t="s">
        <v>34</v>
      </c>
      <c r="C17" s="6" t="s">
        <v>35</v>
      </c>
      <c r="D17" s="5">
        <v>3</v>
      </c>
      <c r="E17" s="5" t="s">
        <v>15</v>
      </c>
      <c r="F17" s="7">
        <v>100</v>
      </c>
      <c r="G17" s="8">
        <f t="shared" si="0"/>
        <v>300</v>
      </c>
    </row>
    <row r="18" ht="48" customHeight="1" spans="1:14">
      <c r="A18" s="5">
        <v>14</v>
      </c>
      <c r="B18" s="6" t="s">
        <v>36</v>
      </c>
      <c r="C18" s="6" t="s">
        <v>37</v>
      </c>
      <c r="D18" s="5">
        <v>5</v>
      </c>
      <c r="E18" s="5" t="s">
        <v>38</v>
      </c>
      <c r="F18" s="7">
        <v>160</v>
      </c>
      <c r="G18" s="8">
        <f t="shared" si="0"/>
        <v>800</v>
      </c>
    </row>
    <row r="19" ht="34" customHeight="1" spans="1:14">
      <c r="A19" s="5">
        <v>15</v>
      </c>
      <c r="B19" s="6" t="s">
        <v>39</v>
      </c>
      <c r="C19" s="6" t="s">
        <v>40</v>
      </c>
      <c r="D19" s="5">
        <v>1</v>
      </c>
      <c r="E19" s="5" t="s">
        <v>12</v>
      </c>
      <c r="F19" s="7">
        <v>0</v>
      </c>
      <c r="G19" s="8">
        <f t="shared" si="0"/>
        <v>0</v>
      </c>
    </row>
    <row r="20" ht="34" customHeight="1" spans="1:14">
      <c r="A20" s="5">
        <v>16</v>
      </c>
      <c r="B20" s="6" t="s">
        <v>41</v>
      </c>
      <c r="C20" s="6" t="s">
        <v>42</v>
      </c>
      <c r="D20" s="5">
        <v>1</v>
      </c>
      <c r="E20" s="5" t="s">
        <v>12</v>
      </c>
      <c r="F20" s="7">
        <v>0</v>
      </c>
      <c r="G20" s="8">
        <f t="shared" si="0"/>
        <v>0</v>
      </c>
    </row>
    <row r="21" ht="128" customHeight="1" spans="1:14">
      <c r="A21" s="5">
        <v>17</v>
      </c>
      <c r="B21" s="6" t="s">
        <v>43</v>
      </c>
      <c r="C21" s="6" t="s">
        <v>44</v>
      </c>
      <c r="D21" s="5">
        <v>1</v>
      </c>
      <c r="E21" s="5" t="s">
        <v>12</v>
      </c>
      <c r="F21" s="7">
        <v>6100</v>
      </c>
      <c r="G21" s="8">
        <f t="shared" si="0"/>
        <v>6100</v>
      </c>
    </row>
    <row r="22" ht="34" customHeight="1" spans="1:14">
      <c r="A22" s="5">
        <v>18</v>
      </c>
      <c r="B22" s="6" t="s">
        <v>45</v>
      </c>
      <c r="C22" s="6" t="s">
        <v>46</v>
      </c>
      <c r="D22" s="5">
        <v>1</v>
      </c>
      <c r="E22" s="5" t="s">
        <v>12</v>
      </c>
      <c r="F22" s="7">
        <v>3000</v>
      </c>
      <c r="G22" s="8">
        <f t="shared" si="0"/>
        <v>3000</v>
      </c>
    </row>
    <row r="23" ht="96" customHeight="1" spans="1:14">
      <c r="A23" s="5">
        <v>19</v>
      </c>
      <c r="B23" s="6" t="s">
        <v>47</v>
      </c>
      <c r="C23" s="6" t="s">
        <v>48</v>
      </c>
      <c r="D23" s="5">
        <v>1</v>
      </c>
      <c r="E23" s="5" t="s">
        <v>12</v>
      </c>
      <c r="F23" s="7">
        <v>4391</v>
      </c>
      <c r="G23" s="8">
        <f t="shared" si="0"/>
        <v>4391</v>
      </c>
    </row>
    <row r="24" ht="48" customHeight="1" spans="1:14">
      <c r="A24" s="5">
        <v>20</v>
      </c>
      <c r="B24" s="6" t="s">
        <v>49</v>
      </c>
      <c r="C24" s="6" t="s">
        <v>50</v>
      </c>
      <c r="D24" s="5">
        <v>1</v>
      </c>
      <c r="E24" s="5" t="s">
        <v>12</v>
      </c>
      <c r="F24" s="7">
        <v>2883</v>
      </c>
      <c r="G24" s="8">
        <f t="shared" si="0"/>
        <v>2883</v>
      </c>
    </row>
    <row r="25" ht="48" customHeight="1" spans="1:14">
      <c r="A25" s="5">
        <v>21</v>
      </c>
      <c r="B25" s="6" t="s">
        <v>51</v>
      </c>
      <c r="C25" s="6" t="s">
        <v>52</v>
      </c>
      <c r="D25" s="5">
        <v>1</v>
      </c>
      <c r="E25" s="5" t="s">
        <v>12</v>
      </c>
      <c r="F25" s="7">
        <v>1050</v>
      </c>
      <c r="G25" s="8">
        <f t="shared" si="0"/>
        <v>1050</v>
      </c>
    </row>
    <row r="26" ht="34" customHeight="1" spans="1:14">
      <c r="A26" s="5">
        <v>22</v>
      </c>
      <c r="B26" s="6" t="s">
        <v>53</v>
      </c>
      <c r="C26" s="6" t="s">
        <v>54</v>
      </c>
      <c r="D26" s="5">
        <v>1</v>
      </c>
      <c r="E26" s="5" t="s">
        <v>12</v>
      </c>
      <c r="F26" s="7">
        <v>400</v>
      </c>
      <c r="G26" s="8">
        <f t="shared" si="0"/>
        <v>400</v>
      </c>
    </row>
    <row r="27" ht="34" customHeight="1" spans="1:14">
      <c r="A27" s="5">
        <v>23</v>
      </c>
      <c r="B27" s="6" t="s">
        <v>55</v>
      </c>
      <c r="C27" s="6" t="s">
        <v>56</v>
      </c>
      <c r="D27" s="5">
        <v>1</v>
      </c>
      <c r="E27" s="5" t="s">
        <v>12</v>
      </c>
      <c r="F27" s="7">
        <v>850</v>
      </c>
      <c r="G27" s="8">
        <f t="shared" si="0"/>
        <v>850</v>
      </c>
    </row>
    <row r="28" ht="34" customHeight="1" spans="1:14">
      <c r="A28" s="5">
        <v>24</v>
      </c>
      <c r="B28" s="6" t="s">
        <v>57</v>
      </c>
      <c r="C28" s="6" t="s">
        <v>58</v>
      </c>
      <c r="D28" s="5">
        <v>1</v>
      </c>
      <c r="E28" s="5" t="s">
        <v>12</v>
      </c>
      <c r="F28" s="7">
        <v>150</v>
      </c>
      <c r="G28" s="8">
        <f t="shared" si="0"/>
        <v>150</v>
      </c>
    </row>
    <row r="29" ht="34" customHeight="1" spans="1:14">
      <c r="A29" s="5">
        <v>25</v>
      </c>
      <c r="B29" s="6" t="s">
        <v>59</v>
      </c>
      <c r="C29" s="6" t="s">
        <v>60</v>
      </c>
      <c r="D29" s="5">
        <v>1</v>
      </c>
      <c r="E29" s="5" t="s">
        <v>12</v>
      </c>
      <c r="F29" s="7">
        <v>1000</v>
      </c>
      <c r="G29" s="8">
        <f t="shared" si="0"/>
        <v>1000</v>
      </c>
    </row>
    <row r="30" ht="24" customHeight="1" spans="1:14">
      <c r="A30" s="9" t="s">
        <v>61</v>
      </c>
      <c r="B30" s="10"/>
      <c r="C30" s="10"/>
      <c r="D30" s="10"/>
      <c r="E30" s="10"/>
      <c r="F30" s="10"/>
      <c r="G30" s="11">
        <f>SUM(G5:G29)</f>
        <v>41894</v>
      </c>
    </row>
    <row r="31" ht="20" customHeight="1" spans="1:14">
      <c r="A31" s="12" t="s">
        <v>62</v>
      </c>
    </row>
    <row r="32" ht="24" customHeight="1" spans="1:14">
      <c r="A32" s="13" t="s">
        <v>63</v>
      </c>
      <c r="B32" s="10"/>
      <c r="C32" s="10"/>
      <c r="D32" s="10"/>
      <c r="E32" s="10"/>
      <c r="F32" s="10"/>
      <c r="G32" s="10"/>
      <c r="H32" s="14" t="s">
        <v>64</v>
      </c>
      <c r="I32" s="14"/>
      <c r="J32" s="14"/>
      <c r="K32" s="14"/>
      <c r="L32" s="14"/>
      <c r="M32" s="14"/>
      <c r="N32" s="14"/>
    </row>
    <row r="33" ht="24" customHeight="1" spans="1:14">
      <c r="A33" s="4" t="s">
        <v>3</v>
      </c>
      <c r="B33" s="4" t="s">
        <v>65</v>
      </c>
      <c r="C33" s="4" t="s">
        <v>66</v>
      </c>
      <c r="G33" s="4" t="s">
        <v>67</v>
      </c>
      <c r="H33" s="15" t="s">
        <v>3</v>
      </c>
      <c r="I33" s="15" t="s">
        <v>68</v>
      </c>
      <c r="J33" s="15" t="s">
        <v>69</v>
      </c>
      <c r="K33" s="15"/>
      <c r="L33" s="15"/>
      <c r="M33" s="15"/>
      <c r="N33" s="15"/>
    </row>
    <row r="34" ht="34" customHeight="1" spans="1:14">
      <c r="A34" s="5">
        <v>1</v>
      </c>
      <c r="B34" s="6" t="s">
        <v>70</v>
      </c>
      <c r="C34" s="6" t="s">
        <v>71</v>
      </c>
      <c r="D34" s="16"/>
      <c r="E34" s="16"/>
      <c r="F34" s="16"/>
      <c r="G34" s="8">
        <v>4</v>
      </c>
      <c r="H34" s="17">
        <v>1</v>
      </c>
      <c r="I34" s="18" t="s">
        <v>72</v>
      </c>
      <c r="J34" s="18" t="s">
        <v>73</v>
      </c>
      <c r="K34" s="19"/>
      <c r="L34" s="19"/>
      <c r="M34" s="19"/>
      <c r="N34" s="20"/>
    </row>
    <row r="35" ht="34" customHeight="1" spans="1:14">
      <c r="A35" s="5">
        <v>2</v>
      </c>
      <c r="B35" s="6" t="s">
        <v>74</v>
      </c>
      <c r="C35" s="6" t="s">
        <v>75</v>
      </c>
      <c r="D35" s="16"/>
      <c r="E35" s="16"/>
      <c r="F35" s="16"/>
      <c r="G35" s="8">
        <v>5</v>
      </c>
      <c r="H35" s="17">
        <v>2</v>
      </c>
      <c r="I35" s="18" t="s">
        <v>76</v>
      </c>
      <c r="J35" s="18" t="s">
        <v>77</v>
      </c>
      <c r="K35" s="19"/>
      <c r="L35" s="19"/>
      <c r="M35" s="19"/>
      <c r="N35" s="20"/>
    </row>
    <row r="36" ht="34" customHeight="1" spans="1:14">
      <c r="A36" s="5">
        <v>3</v>
      </c>
      <c r="B36" s="6" t="s">
        <v>78</v>
      </c>
      <c r="C36" s="6" t="s">
        <v>79</v>
      </c>
      <c r="D36" s="16"/>
      <c r="E36" s="16"/>
      <c r="F36" s="16"/>
      <c r="G36" s="8">
        <v>2</v>
      </c>
      <c r="H36" s="17">
        <v>3</v>
      </c>
      <c r="I36" s="18" t="s">
        <v>80</v>
      </c>
      <c r="J36" s="18" t="s">
        <v>81</v>
      </c>
      <c r="K36" s="19"/>
      <c r="L36" s="19"/>
      <c r="M36" s="19"/>
      <c r="N36" s="20"/>
    </row>
    <row r="37" ht="34" customHeight="1" spans="1:14">
      <c r="A37" s="5">
        <v>4</v>
      </c>
      <c r="B37" s="6" t="s">
        <v>82</v>
      </c>
      <c r="C37" s="6" t="s">
        <v>83</v>
      </c>
      <c r="D37" s="16"/>
      <c r="E37" s="16"/>
      <c r="F37" s="16"/>
      <c r="G37" s="8">
        <v>9</v>
      </c>
      <c r="H37" s="17">
        <v>4</v>
      </c>
      <c r="I37" s="18" t="s">
        <v>84</v>
      </c>
      <c r="J37" s="18" t="s">
        <v>85</v>
      </c>
      <c r="K37" s="19"/>
      <c r="L37" s="19"/>
      <c r="M37" s="19"/>
      <c r="N37" s="20"/>
    </row>
    <row r="38" ht="34" customHeight="1" spans="1:14">
      <c r="A38" s="5">
        <v>5</v>
      </c>
      <c r="B38" s="6" t="s">
        <v>86</v>
      </c>
      <c r="C38" s="6" t="s">
        <v>83</v>
      </c>
      <c r="D38" s="16"/>
      <c r="E38" s="16"/>
      <c r="F38" s="16"/>
      <c r="G38" s="8">
        <v>9</v>
      </c>
      <c r="H38" s="17">
        <v>5</v>
      </c>
      <c r="I38" s="18" t="s">
        <v>87</v>
      </c>
      <c r="J38" s="18" t="s">
        <v>88</v>
      </c>
      <c r="K38" s="19"/>
      <c r="L38" s="19"/>
      <c r="M38" s="19"/>
      <c r="N38" s="20"/>
    </row>
    <row r="39" ht="34" customHeight="1" spans="1:14">
      <c r="A39" s="5">
        <v>6</v>
      </c>
      <c r="B39" s="6" t="s">
        <v>89</v>
      </c>
      <c r="C39" s="6" t="s">
        <v>90</v>
      </c>
      <c r="D39" s="16"/>
      <c r="E39" s="16"/>
      <c r="F39" s="16"/>
      <c r="G39" s="8">
        <v>3</v>
      </c>
      <c r="H39" s="17">
        <v>6</v>
      </c>
      <c r="I39" s="18" t="s">
        <v>91</v>
      </c>
      <c r="J39" s="18" t="s">
        <v>92</v>
      </c>
      <c r="K39" s="19"/>
      <c r="L39" s="19"/>
      <c r="M39" s="19"/>
      <c r="N39" s="20"/>
    </row>
    <row r="40" ht="34" customHeight="1" spans="1:14">
      <c r="A40" s="5">
        <v>7</v>
      </c>
      <c r="B40" s="6" t="s">
        <v>93</v>
      </c>
      <c r="C40" s="6" t="s">
        <v>94</v>
      </c>
      <c r="D40" s="16"/>
      <c r="E40" s="16"/>
      <c r="F40" s="16"/>
      <c r="G40" s="8">
        <v>4</v>
      </c>
      <c r="H40" s="17">
        <v>7</v>
      </c>
      <c r="I40" s="18" t="s">
        <v>95</v>
      </c>
      <c r="J40" s="18" t="s">
        <v>96</v>
      </c>
      <c r="K40" s="19"/>
      <c r="L40" s="19"/>
      <c r="M40" s="19"/>
      <c r="N40" s="20"/>
    </row>
    <row r="41" ht="34" customHeight="1" spans="1:14">
      <c r="A41" s="5">
        <v>8</v>
      </c>
      <c r="B41" s="6" t="s">
        <v>97</v>
      </c>
      <c r="C41" s="6" t="s">
        <v>98</v>
      </c>
      <c r="D41" s="16"/>
      <c r="E41" s="16"/>
      <c r="F41" s="16"/>
      <c r="G41" s="8">
        <v>1</v>
      </c>
      <c r="H41" s="17">
        <v>8</v>
      </c>
      <c r="I41" s="18" t="s">
        <v>99</v>
      </c>
      <c r="J41" s="18" t="s">
        <v>100</v>
      </c>
      <c r="K41" s="19"/>
      <c r="L41" s="19"/>
      <c r="M41" s="19"/>
      <c r="N41" s="20"/>
    </row>
    <row r="42" ht="34" customHeight="1" spans="1:14">
      <c r="A42" s="5">
        <v>9</v>
      </c>
      <c r="B42" s="6" t="s">
        <v>101</v>
      </c>
      <c r="C42" s="6" t="s">
        <v>102</v>
      </c>
      <c r="D42" s="16"/>
      <c r="E42" s="16"/>
      <c r="F42" s="16"/>
      <c r="G42" s="8">
        <v>2</v>
      </c>
      <c r="H42" s="17">
        <v>9</v>
      </c>
      <c r="I42" s="18" t="s">
        <v>103</v>
      </c>
      <c r="J42" s="18" t="s">
        <v>104</v>
      </c>
      <c r="K42" s="19"/>
      <c r="L42" s="19"/>
      <c r="M42" s="19"/>
      <c r="N42" s="20"/>
    </row>
    <row r="43" ht="34" customHeight="1" spans="1:14">
      <c r="A43" s="5">
        <v>10</v>
      </c>
      <c r="B43" s="6" t="s">
        <v>105</v>
      </c>
      <c r="C43" s="6" t="s">
        <v>106</v>
      </c>
      <c r="D43" s="16"/>
      <c r="E43" s="16"/>
      <c r="F43" s="16"/>
      <c r="G43" s="8">
        <v>2</v>
      </c>
    </row>
    <row r="44" ht="34" customHeight="1" spans="1:14">
      <c r="A44" s="5">
        <v>11</v>
      </c>
      <c r="B44" s="6" t="s">
        <v>107</v>
      </c>
      <c r="C44" s="6" t="s">
        <v>108</v>
      </c>
      <c r="D44" s="16"/>
      <c r="E44" s="16"/>
      <c r="F44" s="16"/>
      <c r="G44" s="8">
        <v>4</v>
      </c>
    </row>
    <row r="45" ht="34" customHeight="1" spans="1:14">
      <c r="A45" s="5">
        <v>12</v>
      </c>
      <c r="B45" s="6" t="s">
        <v>109</v>
      </c>
      <c r="C45" s="6" t="s">
        <v>110</v>
      </c>
      <c r="D45" s="16"/>
      <c r="E45" s="16"/>
      <c r="F45" s="16"/>
      <c r="G45" s="8">
        <v>6</v>
      </c>
    </row>
    <row r="46" ht="34" customHeight="1" spans="1:14">
      <c r="A46" s="5">
        <v>13</v>
      </c>
      <c r="B46" s="6" t="s">
        <v>111</v>
      </c>
      <c r="C46" s="6" t="s">
        <v>112</v>
      </c>
      <c r="D46" s="16"/>
      <c r="E46" s="16"/>
      <c r="F46" s="16"/>
      <c r="G46" s="8">
        <v>3</v>
      </c>
    </row>
    <row r="47" ht="34" customHeight="1" spans="1:14">
      <c r="A47" s="5">
        <v>14</v>
      </c>
      <c r="B47" s="6" t="s">
        <v>113</v>
      </c>
      <c r="C47" s="6" t="s">
        <v>114</v>
      </c>
      <c r="D47" s="16"/>
      <c r="E47" s="16"/>
      <c r="F47" s="16"/>
      <c r="G47" s="8">
        <v>9</v>
      </c>
    </row>
    <row r="48" ht="34" customHeight="1" spans="1:14">
      <c r="A48" s="5">
        <v>15</v>
      </c>
      <c r="B48" s="6" t="s">
        <v>115</v>
      </c>
      <c r="C48" s="6" t="s">
        <v>116</v>
      </c>
      <c r="D48" s="16"/>
      <c r="E48" s="16"/>
      <c r="F48" s="16"/>
      <c r="G48" s="8">
        <v>1</v>
      </c>
    </row>
    <row r="49" ht="24" customHeight="1" spans="1:7">
      <c r="A49" s="9" t="s">
        <v>117</v>
      </c>
      <c r="B49" s="10"/>
      <c r="C49" s="10"/>
      <c r="D49" s="10"/>
      <c r="E49" s="10"/>
      <c r="F49" s="10"/>
      <c r="G49" s="11">
        <f>SUM(G34:G48)</f>
        <v>64</v>
      </c>
    </row>
    <row r="50" ht="20" customHeight="1" spans="1:7">
      <c r="A50" s="12" t="s">
        <v>118</v>
      </c>
    </row>
    <row r="51" ht="400" customHeight="1" spans="1:7">
      <c r="A51" s="12" t="s">
        <v>119</v>
      </c>
    </row>
    <row r="52" ht="18" customHeight="1" spans="1:7">
      <c r="A52" s="12" t="s">
        <v>120</v>
      </c>
    </row>
    <row r="53" ht="18" customHeight="1" spans="1:7">
      <c r="A53" s="12" t="s">
        <v>121</v>
      </c>
    </row>
    <row r="54" ht="26" customHeight="1" spans="1:7">
      <c r="A54" s="12" t="s">
        <v>122</v>
      </c>
    </row>
  </sheetData>
  <mergeCells count="13">
    <mergeCell ref="B1:G1"/>
    <mergeCell ref="A2:G2"/>
    <mergeCell ref="A3:G3"/>
    <mergeCell ref="A30:F30"/>
    <mergeCell ref="A31:G31"/>
    <mergeCell ref="A32:G32"/>
    <mergeCell ref="H32:N32"/>
    <mergeCell ref="A49:F49"/>
    <mergeCell ref="A50:G50"/>
    <mergeCell ref="A51:G51"/>
    <mergeCell ref="A52:G52"/>
    <mergeCell ref="A53:G53"/>
    <mergeCell ref="A54:G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装修报价单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樱雨慕晨</cp:lastModifiedBy>
  <dcterms:created xsi:type="dcterms:W3CDTF">2026-09-23T13:08:00Z</dcterms:created>
  <dcterms:modified xsi:type="dcterms:W3CDTF">2026-09-23T16:00:10Z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4637E196ADAD4207B00FE75853895FFC_12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